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51600" windowHeight="17730"/>
  </bookViews>
  <sheets>
    <sheet name="Зарплат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F5" i="2" l="1"/>
  <c r="E5" i="2"/>
  <c r="G5" i="2" s="1"/>
  <c r="E4" i="2"/>
  <c r="F4" i="2" s="1"/>
  <c r="G3" i="2"/>
  <c r="F3" i="2"/>
  <c r="E3" i="2"/>
  <c r="E2" i="2"/>
  <c r="E6" i="2" s="1"/>
  <c r="B7" i="1"/>
  <c r="D6" i="1"/>
  <c r="E6" i="1" s="1"/>
  <c r="E5" i="1"/>
  <c r="F5" i="1" s="1"/>
  <c r="D5" i="1"/>
  <c r="D4" i="1"/>
  <c r="E3" i="1"/>
  <c r="F3" i="1" s="1"/>
  <c r="D3" i="1"/>
  <c r="K2" i="1"/>
  <c r="J2" i="1"/>
  <c r="D2" i="1"/>
  <c r="E4" i="1" l="1"/>
  <c r="F4" i="1" s="1"/>
  <c r="F2" i="2"/>
  <c r="F6" i="2" s="1"/>
  <c r="G2" i="2"/>
  <c r="F6" i="1"/>
  <c r="G4" i="2"/>
  <c r="E2" i="1"/>
  <c r="E7" i="1" s="1"/>
  <c r="D7" i="1"/>
  <c r="F2" i="1" l="1"/>
  <c r="G6" i="2"/>
  <c r="B10" i="1" l="1"/>
  <c r="B9" i="1"/>
  <c r="F7" i="1"/>
  <c r="B11" i="1"/>
</calcChain>
</file>

<file path=xl/sharedStrings.xml><?xml version="1.0" encoding="utf-8"?>
<sst xmlns="http://schemas.openxmlformats.org/spreadsheetml/2006/main" count="33" uniqueCount="32">
  <si>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</si>
  <si>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</si>
  <si>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</si>
  <si>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</si>
  <si>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</si>
  <si>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</si>
  <si>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</si>
  <si>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</si>
  <si>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</si>
  <si>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Абсолютная</t>
  </si>
  <si>
    <t>Смешанная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</si>
  <si>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</si>
  <si>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</si>
  <si>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</si>
  <si>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</si>
  <si>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</si>
  <si>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</si>
  <si>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</si>
  <si>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</si>
  <si>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</si>
  <si>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</si>
  <si>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</si>
  <si>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Ставка НДС:</t>
  </si>
  <si>
    <t>Ноутбук</t>
  </si>
  <si>
    <t>Монитор</t>
  </si>
  <si>
    <t>Клавиатура</t>
  </si>
  <si>
    <t>Мышь</t>
  </si>
  <si>
    <t>Мороз И.И.</t>
  </si>
  <si>
    <t>Баленков П.П.</t>
  </si>
  <si>
    <t>Пронкин С.С.</t>
  </si>
  <si>
    <t>Суворова К.К.</t>
  </si>
  <si>
    <t>Иванов С.С.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</si>
</sst>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9" fontId="0" fillId="3" borderId="1" xfId="0" applyNumberFormat="1" applyFill="1" applyBorder="1"/>
    <xf numFmtId="0" fontId="2" fillId="0" borderId="1" xfId="0" applyFont="1" applyBorder="1"/>
    <xf numFmtId="164" fontId="2" fillId="0" borderId="1" xfId="0" applyNumberFormat="1" applyFont="1" applyBorder="1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0" customWidth="1"/>
    <col min="2" max="2" width="15" customWidth="1"/>
    <col min="3" max="3" width="13" customWidth="1"/>
    <col min="4" max="4" width="16" customWidth="1"/>
    <col min="5" max="6" width="15" customWidth="1"/>
    <col min="7" max="7" width="10" customWidth="1"/>
    <col min="8" max="8" width="15" customWidth="1"/>
    <col min="9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 x14ac:dyDescent="0.25">
      <c r="A2" s="3" t="s">
        <v>27</v>
      </c>
      <c r="B2" s="4">
        <v>50000</v>
      </c>
      <c r="C2" s="3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 s="3">
        <v>1</v>
      </c>
      <c r="H2" s="5">
        <v>0.13</v>
      </c>
      <c r="I2">
        <v>1.5</v>
      </c>
      <c r="J2">
        <f>B2*$I$2</f>
        <v>75000</v>
      </c>
      <c r="K2">
        <f>B2*I$2</f>
        <v>75000</v>
      </c>
    </row>
    <row r="3" spans="1:11" x14ac:dyDescent="0.25">
      <c r="A3" s="3" t="s">
        <v>28</v>
      </c>
      <c r="B3" s="4">
        <v>45000</v>
      </c>
      <c r="C3" s="3">
        <v>15</v>
      </c>
      <c r="D3" s="4">
        <f>B3*C3/100</f>
        <v>6750</v>
      </c>
      <c r="E3" s="4">
        <f>(B3+D3)*$H$2</f>
        <v>6727.5</v>
      </c>
      <c r="F3" s="4">
        <f>B3+D3-E3</f>
        <v>45022.5</v>
      </c>
      <c r="G3" s="3">
        <v>2</v>
      </c>
    </row>
    <row r="4" spans="1:11" x14ac:dyDescent="0.25">
      <c r="A4" s="3" t="s">
        <v>29</v>
      </c>
      <c r="B4" s="4">
        <v>62000</v>
      </c>
      <c r="C4" s="3">
        <v>25</v>
      </c>
      <c r="D4" s="4">
        <f>B4*C4/100</f>
        <v>15500</v>
      </c>
      <c r="E4" s="4">
        <f>(B4+D4)*$H$2</f>
        <v>10075</v>
      </c>
      <c r="F4" s="4">
        <f>B4+D4-E4</f>
        <v>67425</v>
      </c>
      <c r="G4" s="3">
        <v>3</v>
      </c>
    </row>
    <row r="5" spans="1:11" x14ac:dyDescent="0.25">
      <c r="A5" s="3" t="s">
        <v>30</v>
      </c>
      <c r="B5" s="4">
        <v>55000</v>
      </c>
      <c r="C5" s="3">
        <v>10</v>
      </c>
      <c r="D5" s="4">
        <f>B5*C5/100</f>
        <v>5500</v>
      </c>
      <c r="E5" s="4">
        <f>(B5+D5)*$H$2</f>
        <v>7865</v>
      </c>
      <c r="F5" s="4">
        <f>B5+D5-E5</f>
        <v>52635</v>
      </c>
      <c r="G5" s="3">
        <v>4</v>
      </c>
    </row>
    <row r="6" spans="1:11" x14ac:dyDescent="0.25">
      <c r="A6" s="3" t="s">
        <v>31</v>
      </c>
      <c r="B6" s="4">
        <v>40000</v>
      </c>
      <c r="C6" s="3">
        <v>30</v>
      </c>
      <c r="D6" s="4">
        <f>B6*C6/100</f>
        <v>12000</v>
      </c>
      <c r="E6" s="4">
        <f>(B6+D6)*$H$2</f>
        <v>6760</v>
      </c>
      <c r="F6" s="4">
        <f>B6+D6-E6</f>
        <v>45240</v>
      </c>
      <c r="G6" s="3">
        <v>5</v>
      </c>
    </row>
    <row r="7" spans="1:11" x14ac:dyDescent="0.25">
      <c r="A7" s="6" t="s">
        <v>11</v>
      </c>
      <c r="B7" s="7">
        <f>SUM(B2:B6)</f>
        <v>252000</v>
      </c>
      <c r="C7" s="3"/>
      <c r="D7" s="7">
        <f>SUM(D2:D6)</f>
        <v>49750</v>
      </c>
      <c r="E7" s="7">
        <f>SUM(E2:E6)</f>
        <v>39227.5</v>
      </c>
      <c r="F7" s="7">
        <f>SUM(F2:F6)</f>
        <v>262522.5</v>
      </c>
      <c r="G7" s="3"/>
    </row>
    <row r="9" spans="1:11" x14ac:dyDescent="0.25">
      <c r="A9" s="2" t="s">
        <v>12</v>
      </c>
      <c r="B9" s="8">
        <f>AVERAGE(F2:F6)</f>
        <v>52504.5</v>
      </c>
    </row>
    <row r="10" spans="1:11" x14ac:dyDescent="0.25">
      <c r="A10" s="2" t="s">
        <v>13</v>
      </c>
      <c r="B10" s="8">
        <f>MAX(F2:F6)</f>
        <v>67425</v>
      </c>
    </row>
    <row r="11" spans="1:11" x14ac:dyDescent="0.25">
      <c r="A11" s="2" t="s">
        <v>14</v>
      </c>
      <c r="B11" s="8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5" customWidth="1"/>
    <col min="3" max="3" width="10" customWidth="1"/>
    <col min="4" max="4" width="12" customWidth="1"/>
    <col min="5" max="5" width="16" customWidth="1"/>
    <col min="6" max="6" width="20" customWidth="1"/>
    <col min="7" max="7" width="14" customWidth="1"/>
    <col min="8" max="8" width="3" customWidth="1"/>
    <col min="9" max="9" width="15" customWidth="1"/>
  </cols>
  <sheetData>
    <row r="1" spans="1:9" x14ac:dyDescent="0.25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I1" t="s">
        <v>22</v>
      </c>
    </row>
    <row r="2" spans="1:9" x14ac:dyDescent="0.25">
      <c r="A2" s="3" t="s">
        <v>23</v>
      </c>
      <c r="B2" s="4">
        <v>45000</v>
      </c>
      <c r="C2" s="3">
        <v>5</v>
      </c>
      <c r="D2" s="3">
        <v>5</v>
      </c>
      <c r="E2" s="4">
        <f>B2*C2</f>
        <v>225000</v>
      </c>
      <c r="F2" s="4">
        <f>E2*(1-D2/100)</f>
        <v>213750</v>
      </c>
      <c r="G2" s="4">
        <f>E2*$I$2</f>
        <v>45000</v>
      </c>
      <c r="I2" s="5">
        <v>0.2</v>
      </c>
    </row>
    <row r="3" spans="1:9" x14ac:dyDescent="0.25">
      <c r="A3" s="3" t="s">
        <v>24</v>
      </c>
      <c r="B3" s="4">
        <v>18000</v>
      </c>
      <c r="C3" s="3">
        <v>3</v>
      </c>
      <c r="D3" s="3">
        <v>10</v>
      </c>
      <c r="E3" s="4">
        <f>B3*C3</f>
        <v>54000</v>
      </c>
      <c r="F3" s="4">
        <f>E3*(1-D3/100)</f>
        <v>48600</v>
      </c>
      <c r="G3" s="4">
        <f>E3*$I$2</f>
        <v>10800</v>
      </c>
    </row>
    <row r="4" spans="1:9" x14ac:dyDescent="0.25">
      <c r="A4" s="3" t="s">
        <v>25</v>
      </c>
      <c r="B4" s="4">
        <v>1500</v>
      </c>
      <c r="C4" s="3">
        <v>10</v>
      </c>
      <c r="D4" s="3">
        <v>25</v>
      </c>
      <c r="E4" s="4">
        <f>B4*C4</f>
        <v>15000</v>
      </c>
      <c r="F4" s="4">
        <f>E4*(1-D4/100)</f>
        <v>11250</v>
      </c>
      <c r="G4" s="4">
        <f>E4*$I$2</f>
        <v>3000</v>
      </c>
    </row>
    <row r="5" spans="1:9" x14ac:dyDescent="0.25">
      <c r="A5" s="3" t="s">
        <v>26</v>
      </c>
      <c r="B5" s="4">
        <v>800</v>
      </c>
      <c r="C5" s="3">
        <v>7</v>
      </c>
      <c r="D5" s="3">
        <v>30</v>
      </c>
      <c r="E5" s="4">
        <f>B5*C5</f>
        <v>5600</v>
      </c>
      <c r="F5" s="4">
        <f>E5*(1-D5/100)</f>
        <v>3919.9999999999995</v>
      </c>
      <c r="G5" s="4">
        <f>E5*$I$2</f>
        <v>1120</v>
      </c>
    </row>
    <row r="6" spans="1:9" x14ac:dyDescent="0.25">
      <c r="A6" s="6" t="s">
        <v>11</v>
      </c>
      <c r="B6" s="4"/>
      <c r="C6" s="3"/>
      <c r="D6" s="3"/>
      <c r="E6" s="4">
        <f>SUM(E2:E5)</f>
        <v>299600</v>
      </c>
      <c r="F6" s="7">
        <f>SUM(F2:F5)</f>
        <v>277520</v>
      </c>
      <c r="G6" s="4">
        <f>SUM(G2:G5)</f>
        <v>59920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2026-09-22T08:42:11Z</dcterms:created>
  <dcterms:modified xsi:type="dcterms:W3CDTF">2026-09-29T08:19:55Z</dcterms:modified>
</cp:coreProperties>
</file>